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59d3e591412e4b/Analytics/Excel/"/>
    </mc:Choice>
  </mc:AlternateContent>
  <xr:revisionPtr revIDLastSave="0" documentId="8_{2C720EDA-7D1C-4EB2-8ED8-49A505BECF81}" xr6:coauthVersionLast="47" xr6:coauthVersionMax="47" xr10:uidLastSave="{00000000-0000-0000-0000-000000000000}"/>
  <bookViews>
    <workbookView xWindow="-108" yWindow="-108" windowWidth="23256" windowHeight="12576" xr2:uid="{E7D9780E-5436-49AF-AE6A-C6BF63798BA6}"/>
  </bookViews>
  <sheets>
    <sheet name="Expense Entry" sheetId="4" r:id="rId1"/>
    <sheet name="Quick Expense Calculator" sheetId="12" r:id="rId2"/>
    <sheet name="Categories" sheetId="8" state="hidden" r:id="rId3"/>
  </sheets>
  <definedNames>
    <definedName name="CategoryList">Categories!$A$1:$A$13</definedName>
    <definedName name="ExpenseTracker">ExpenseTable[[#All],[Date]]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2" l="1"/>
  <c r="L21" i="12"/>
  <c r="I24" i="12"/>
  <c r="B11" i="12"/>
  <c r="L24" i="12"/>
  <c r="L11" i="12"/>
  <c r="E17" i="12"/>
  <c r="E7" i="12"/>
  <c r="E18" i="12"/>
  <c r="E19" i="12"/>
  <c r="E20" i="12"/>
  <c r="E21" i="12"/>
  <c r="E22" i="12"/>
  <c r="E23" i="12"/>
  <c r="E24" i="12"/>
  <c r="E25" i="12"/>
  <c r="E26" i="12"/>
  <c r="E27" i="12"/>
  <c r="E28" i="12"/>
  <c r="L12" i="12"/>
  <c r="L13" i="12"/>
  <c r="L14" i="12"/>
  <c r="L15" i="12"/>
  <c r="L16" i="12"/>
  <c r="L17" i="12"/>
  <c r="L18" i="12"/>
  <c r="L19" i="12"/>
  <c r="L20" i="12"/>
  <c r="L7" i="12" l="1"/>
</calcChain>
</file>

<file path=xl/sharedStrings.xml><?xml version="1.0" encoding="utf-8"?>
<sst xmlns="http://schemas.openxmlformats.org/spreadsheetml/2006/main" count="77" uniqueCount="65">
  <si>
    <t>Date</t>
  </si>
  <si>
    <t>Description</t>
  </si>
  <si>
    <t>Amount</t>
  </si>
  <si>
    <t>Food</t>
  </si>
  <si>
    <t>Shopping</t>
  </si>
  <si>
    <t>Rent</t>
  </si>
  <si>
    <t>Month</t>
  </si>
  <si>
    <t>Transport</t>
  </si>
  <si>
    <t>Utilities</t>
  </si>
  <si>
    <t>Entertainment</t>
  </si>
  <si>
    <t>Healthcare</t>
  </si>
  <si>
    <t>Savings</t>
  </si>
  <si>
    <t>Miscellaneous</t>
  </si>
  <si>
    <t>Please enter the date of the expense, select the appropriate category, add a brief description if needed, and enter the amount. Use the drop-down list in the 'Category' column to select from predefined options.</t>
  </si>
  <si>
    <t>Aug</t>
  </si>
  <si>
    <t>Year</t>
  </si>
  <si>
    <t>Jan</t>
  </si>
  <si>
    <t>Feb</t>
  </si>
  <si>
    <t>Mar</t>
  </si>
  <si>
    <t>Apr</t>
  </si>
  <si>
    <t>May</t>
  </si>
  <si>
    <t>Jun</t>
  </si>
  <si>
    <t>Jul</t>
  </si>
  <si>
    <t>Sep</t>
  </si>
  <si>
    <t>Oct</t>
  </si>
  <si>
    <t>Nov</t>
  </si>
  <si>
    <t>Dec</t>
  </si>
  <si>
    <t>Category</t>
  </si>
  <si>
    <t>Expenses by Month</t>
  </si>
  <si>
    <t>Expenses by Category</t>
  </si>
  <si>
    <t>Expense Tracker</t>
  </si>
  <si>
    <t>Instructions</t>
  </si>
  <si>
    <t>Beauty/Skincare</t>
  </si>
  <si>
    <t>Car</t>
  </si>
  <si>
    <t>Daily necessities</t>
  </si>
  <si>
    <t>Daily Necessities</t>
  </si>
  <si>
    <t>Income</t>
  </si>
  <si>
    <r>
      <rPr>
        <sz val="14"/>
        <color rgb="FF002060"/>
        <rFont val="Calibri"/>
        <family val="2"/>
        <scheme val="minor"/>
      </rPr>
      <t>Income</t>
    </r>
    <r>
      <rPr>
        <sz val="14"/>
        <color theme="1"/>
        <rFont val="Calibri"/>
        <family val="2"/>
        <scheme val="minor"/>
      </rPr>
      <t xml:space="preserve"> </t>
    </r>
    <r>
      <rPr>
        <sz val="14"/>
        <color rgb="FF002060"/>
        <rFont val="Calibri"/>
        <family val="2"/>
        <scheme val="minor"/>
      </rPr>
      <t>after expense</t>
    </r>
  </si>
  <si>
    <t>Month Expenses</t>
  </si>
  <si>
    <t>1. Year by default is 2024 but its editable - format YYYY [eg. 2024]</t>
  </si>
  <si>
    <t>2. Month by default is Jan but its editable - format MMM [eg. Jan]</t>
  </si>
  <si>
    <t>4. If income data for selected month is not available then it shows zero</t>
  </si>
  <si>
    <t>8. Monthly Savings is the total savings of the selected month and year</t>
  </si>
  <si>
    <t>9. If no savings data then it shows zero. It doesn't effect any table.</t>
  </si>
  <si>
    <t>11. Color - Red is highest expense, yellow moderate, green low or no expense</t>
  </si>
  <si>
    <t>Month Savings</t>
  </si>
  <si>
    <t>Year Expenses</t>
  </si>
  <si>
    <t>Year Savings</t>
  </si>
  <si>
    <r>
      <t xml:space="preserve">5. Income after expense is </t>
    </r>
    <r>
      <rPr>
        <b/>
        <sz val="11"/>
        <color theme="1"/>
        <rFont val="Calibri"/>
        <family val="2"/>
        <scheme val="minor"/>
      </rPr>
      <t>Income - Month Expenses</t>
    </r>
    <r>
      <rPr>
        <sz val="11"/>
        <color theme="1"/>
        <rFont val="Calibri"/>
        <family val="2"/>
        <scheme val="minor"/>
      </rPr>
      <t xml:space="preserve"> for quick view</t>
    </r>
  </si>
  <si>
    <r>
      <t xml:space="preserve">6. If </t>
    </r>
    <r>
      <rPr>
        <b/>
        <sz val="11"/>
        <color theme="1"/>
        <rFont val="Calibri"/>
        <family val="2"/>
        <scheme val="minor"/>
      </rPr>
      <t>Income - Month Expenses</t>
    </r>
    <r>
      <rPr>
        <sz val="11"/>
        <color theme="1"/>
        <rFont val="Calibri"/>
        <family val="2"/>
        <scheme val="minor"/>
      </rPr>
      <t xml:space="preserve"> of the month is less than zero, cell turns red else green</t>
    </r>
  </si>
  <si>
    <t>7. Month Expenses is the total expense of the selected month and year</t>
  </si>
  <si>
    <t>10. Expenses by Month is a quick view of monthly expenses of the selected year</t>
  </si>
  <si>
    <t>12. Expenses by Category is a quick view of money spent in different categories</t>
  </si>
  <si>
    <t>13. Expenses by Category is dependent on the month and year selected</t>
  </si>
  <si>
    <t>14. Savings is not an expense so its always in blue. Dependent on both month and year</t>
  </si>
  <si>
    <t>3. Income is calculated based on both month and year selected</t>
  </si>
  <si>
    <t>15. Year Expenses is the total expense of the year selected</t>
  </si>
  <si>
    <t>16. Year Savings is the total savings of the year selected</t>
  </si>
  <si>
    <t>17. This sheet get automatically updated upon changes made in the Entry Sheet</t>
  </si>
  <si>
    <t>18. Only Year and Month are editable. Sheet is protected to avoid edits and errors</t>
  </si>
  <si>
    <r>
      <rPr>
        <sz val="11"/>
        <color theme="1"/>
        <rFont val="Calibri"/>
        <family val="2"/>
        <scheme val="minor"/>
      </rPr>
      <t>19.</t>
    </r>
    <r>
      <rPr>
        <sz val="9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Note:</t>
    </r>
    <r>
      <rPr>
        <sz val="9"/>
        <color theme="1"/>
        <rFont val="Calibri"/>
        <family val="2"/>
        <scheme val="minor"/>
      </rPr>
      <t xml:space="preserve"> Income after expense turns negative if income is not provided or expense &gt; income</t>
    </r>
  </si>
  <si>
    <t>Because it depends on income</t>
  </si>
  <si>
    <r>
      <rPr>
        <sz val="11"/>
        <color theme="1"/>
        <rFont val="Calibri"/>
        <family val="2"/>
        <scheme val="minor"/>
      </rPr>
      <t xml:space="preserve">20. </t>
    </r>
    <r>
      <rPr>
        <b/>
        <sz val="11"/>
        <color theme="1"/>
        <rFont val="Calibri"/>
        <family val="2"/>
        <scheme val="minor"/>
      </rPr>
      <t>Note</t>
    </r>
    <r>
      <rPr>
        <b/>
        <sz val="9"/>
        <color theme="1"/>
        <rFont val="Calibri"/>
        <family val="2"/>
        <scheme val="minor"/>
      </rPr>
      <t>:</t>
    </r>
    <r>
      <rPr>
        <sz val="9"/>
        <color theme="1"/>
        <rFont val="Calibri"/>
        <family val="2"/>
        <scheme val="minor"/>
      </rPr>
      <t xml:space="preserve"> If no data at all for the selected month/year then expenses by category and month turns </t>
    </r>
  </si>
  <si>
    <t xml:space="preserve">red. Nothing to worry about since it can't decide which is the highest expense so all goes red. </t>
  </si>
  <si>
    <t>Once you enter data or change the month and year that has data, it updates automatically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</si>
</sst>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C09]#,##0.00"/>
  </numFmts>
  <fonts count="21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827081"/>
      <name val="Calibri"/>
      <family val="2"/>
      <scheme val="minor"/>
    </font>
    <font>
      <i/>
      <sz val="11"/>
      <color theme="3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206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rgb="FF002060"/>
      <name val="Calibri"/>
      <family val="2"/>
      <scheme val="minor"/>
    </font>
    <font>
      <sz val="20"/>
      <color rgb="FF002060"/>
      <name val="Calibri"/>
      <family val="2"/>
      <scheme val="minor"/>
    </font>
    <font>
      <i/>
      <u/>
      <sz val="14"/>
      <color rgb="FF002060"/>
      <name val="Calibri"/>
      <family val="2"/>
      <scheme val="minor"/>
    </font>
    <font>
      <sz val="14"/>
      <color theme="9" tint="-0.49998474074526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33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3" tint="-0.249977111117893"/>
      <name val="Calibri"/>
      <family val="2"/>
      <scheme val="minor"/>
    </font>
    <font>
      <sz val="13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827081"/>
        <bgColor indexed="64"/>
      </patternFill>
    </fill>
    <fill>
      <patternFill patternType="solid">
        <fgColor rgb="FFE7E6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6BFEA"/>
        <bgColor indexed="64"/>
      </patternFill>
    </fill>
    <fill>
      <patternFill patternType="solid">
        <fgColor rgb="FFC6D2E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medium">
        <color theme="0"/>
      </right>
      <top/>
      <bottom/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6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18" fillId="0" borderId="0" xfId="0" applyFont="1"/>
    <xf numFmtId="14" fontId="19" fillId="3" borderId="5" xfId="0" applyNumberFormat="1" applyFont="1" applyFill="1" applyBorder="1"/>
    <xf numFmtId="0" fontId="19" fillId="3" borderId="1" xfId="0" applyFont="1" applyFill="1" applyBorder="1"/>
    <xf numFmtId="164" fontId="19" fillId="3" borderId="6" xfId="0" applyNumberFormat="1" applyFont="1" applyFill="1" applyBorder="1"/>
    <xf numFmtId="14" fontId="20" fillId="2" borderId="2" xfId="0" applyNumberFormat="1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164" fontId="20" fillId="2" borderId="4" xfId="0" applyNumberFormat="1" applyFont="1" applyFill="1" applyBorder="1" applyAlignment="1">
      <alignment horizontal="center"/>
    </xf>
    <xf numFmtId="14" fontId="3" fillId="3" borderId="0" xfId="0" applyNumberFormat="1" applyFont="1" applyFill="1" applyAlignment="1">
      <alignment horizontal="center" wrapText="1"/>
    </xf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1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64" fontId="13" fillId="10" borderId="13" xfId="0" applyNumberFormat="1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164" fontId="13" fillId="4" borderId="13" xfId="0" applyNumberFormat="1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164" fontId="7" fillId="9" borderId="16" xfId="0" applyNumberFormat="1" applyFont="1" applyFill="1" applyBorder="1" applyAlignment="1">
      <alignment horizontal="center" vertical="center"/>
    </xf>
    <xf numFmtId="164" fontId="7" fillId="9" borderId="14" xfId="0" applyNumberFormat="1" applyFont="1" applyFill="1" applyBorder="1" applyAlignment="1">
      <alignment horizontal="center" vertical="center"/>
    </xf>
    <xf numFmtId="164" fontId="7" fillId="9" borderId="17" xfId="0" applyNumberFormat="1" applyFont="1" applyFill="1" applyBorder="1" applyAlignment="1">
      <alignment horizontal="center" vertical="center"/>
    </xf>
    <xf numFmtId="164" fontId="7" fillId="9" borderId="18" xfId="0" applyNumberFormat="1" applyFont="1" applyFill="1" applyBorder="1" applyAlignment="1">
      <alignment horizontal="center" vertical="center"/>
    </xf>
    <xf numFmtId="164" fontId="7" fillId="9" borderId="0" xfId="0" applyNumberFormat="1" applyFont="1" applyFill="1" applyAlignment="1">
      <alignment horizontal="center" vertical="center"/>
    </xf>
    <xf numFmtId="164" fontId="7" fillId="9" borderId="8" xfId="0" applyNumberFormat="1" applyFont="1" applyFill="1" applyBorder="1" applyAlignment="1">
      <alignment horizontal="center" vertical="center"/>
    </xf>
    <xf numFmtId="164" fontId="7" fillId="9" borderId="19" xfId="0" applyNumberFormat="1" applyFont="1" applyFill="1" applyBorder="1" applyAlignment="1">
      <alignment horizontal="center" vertical="center"/>
    </xf>
    <xf numFmtId="164" fontId="7" fillId="9" borderId="10" xfId="0" applyNumberFormat="1" applyFont="1" applyFill="1" applyBorder="1" applyAlignment="1">
      <alignment horizontal="center" vertical="center"/>
    </xf>
    <xf numFmtId="164" fontId="7" fillId="9" borderId="9" xfId="0" applyNumberFormat="1" applyFont="1" applyFill="1" applyBorder="1" applyAlignment="1">
      <alignment horizontal="center" vertical="center"/>
    </xf>
    <xf numFmtId="164" fontId="13" fillId="10" borderId="16" xfId="0" applyNumberFormat="1" applyFont="1" applyFill="1" applyBorder="1" applyAlignment="1">
      <alignment horizontal="center" vertical="center"/>
    </xf>
    <xf numFmtId="164" fontId="13" fillId="10" borderId="14" xfId="0" applyNumberFormat="1" applyFont="1" applyFill="1" applyBorder="1" applyAlignment="1">
      <alignment horizontal="center" vertical="center"/>
    </xf>
    <xf numFmtId="164" fontId="13" fillId="10" borderId="17" xfId="0" applyNumberFormat="1" applyFont="1" applyFill="1" applyBorder="1" applyAlignment="1">
      <alignment horizontal="center" vertical="center"/>
    </xf>
    <xf numFmtId="164" fontId="13" fillId="10" borderId="18" xfId="0" applyNumberFormat="1" applyFont="1" applyFill="1" applyBorder="1" applyAlignment="1">
      <alignment horizontal="center" vertical="center"/>
    </xf>
    <xf numFmtId="164" fontId="13" fillId="10" borderId="0" xfId="0" applyNumberFormat="1" applyFont="1" applyFill="1" applyAlignment="1">
      <alignment horizontal="center" vertical="center"/>
    </xf>
    <xf numFmtId="164" fontId="13" fillId="10" borderId="8" xfId="0" applyNumberFormat="1" applyFont="1" applyFill="1" applyBorder="1" applyAlignment="1">
      <alignment horizontal="center" vertical="center"/>
    </xf>
    <xf numFmtId="164" fontId="13" fillId="10" borderId="19" xfId="0" applyNumberFormat="1" applyFont="1" applyFill="1" applyBorder="1" applyAlignment="1">
      <alignment horizontal="center" vertical="center"/>
    </xf>
    <xf numFmtId="164" fontId="13" fillId="10" borderId="10" xfId="0" applyNumberFormat="1" applyFont="1" applyFill="1" applyBorder="1" applyAlignment="1">
      <alignment horizontal="center" vertical="center"/>
    </xf>
    <xf numFmtId="164" fontId="13" fillId="10" borderId="9" xfId="0" applyNumberFormat="1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/>
    </xf>
    <xf numFmtId="164" fontId="13" fillId="10" borderId="13" xfId="0" applyNumberFormat="1" applyFont="1" applyFill="1" applyBorder="1" applyAlignment="1">
      <alignment horizontal="center" vertical="center"/>
    </xf>
    <xf numFmtId="164" fontId="15" fillId="3" borderId="15" xfId="0" applyNumberFormat="1" applyFont="1" applyFill="1" applyBorder="1" applyAlignment="1">
      <alignment horizontal="center"/>
    </xf>
    <xf numFmtId="164" fontId="15" fillId="3" borderId="12" xfId="0" applyNumberFormat="1" applyFont="1" applyFill="1" applyBorder="1" applyAlignment="1">
      <alignment horizontal="center"/>
    </xf>
    <xf numFmtId="164" fontId="15" fillId="3" borderId="11" xfId="0" applyNumberFormat="1" applyFont="1" applyFill="1" applyBorder="1" applyAlignment="1">
      <alignment horizontal="center"/>
    </xf>
    <xf numFmtId="0" fontId="10" fillId="5" borderId="13" xfId="0" applyFont="1" applyFill="1" applyBorder="1" applyAlignment="1">
      <alignment horizontal="left"/>
    </xf>
    <xf numFmtId="164" fontId="15" fillId="3" borderId="13" xfId="0" applyNumberFormat="1" applyFont="1" applyFill="1" applyBorder="1" applyAlignment="1">
      <alignment horizontal="center" wrapText="1"/>
    </xf>
    <xf numFmtId="164" fontId="15" fillId="3" borderId="13" xfId="0" applyNumberFormat="1" applyFont="1" applyFill="1" applyBorder="1" applyAlignment="1">
      <alignment horizontal="center"/>
    </xf>
    <xf numFmtId="164" fontId="14" fillId="8" borderId="13" xfId="0" applyNumberFormat="1" applyFont="1" applyFill="1" applyBorder="1" applyAlignment="1">
      <alignment horizontal="center" wrapText="1"/>
    </xf>
    <xf numFmtId="164" fontId="14" fillId="8" borderId="13" xfId="0" applyNumberFormat="1" applyFont="1" applyFill="1" applyBorder="1" applyAlignment="1">
      <alignment horizontal="center"/>
    </xf>
    <xf numFmtId="0" fontId="11" fillId="7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10" fillId="5" borderId="15" xfId="0" applyFont="1" applyFill="1" applyBorder="1" applyAlignment="1">
      <alignment horizontal="left"/>
    </xf>
    <xf numFmtId="0" fontId="10" fillId="5" borderId="12" xfId="0" applyFont="1" applyFill="1" applyBorder="1" applyAlignment="1">
      <alignment horizontal="left"/>
    </xf>
    <xf numFmtId="0" fontId="10" fillId="5" borderId="11" xfId="0" applyFont="1" applyFill="1" applyBorder="1" applyAlignment="1">
      <alignment horizontal="left"/>
    </xf>
    <xf numFmtId="0" fontId="8" fillId="6" borderId="0" xfId="0" applyFont="1" applyFill="1" applyAlignment="1">
      <alignment horizontal="center"/>
    </xf>
    <xf numFmtId="0" fontId="10" fillId="5" borderId="13" xfId="0" applyFont="1" applyFill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164" fontId="7" fillId="9" borderId="13" xfId="0" applyNumberFormat="1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8" fillId="12" borderId="0" xfId="0" applyFont="1" applyFill="1" applyAlignment="1" applyProtection="1">
      <alignment horizontal="center"/>
      <protection locked="0"/>
    </xf>
    <xf numFmtId="0" fontId="8" fillId="12" borderId="7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15">
    <dxf>
      <font>
        <color theme="9" tint="-0.499984740745262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strike val="0"/>
        <outline val="0"/>
        <shadow val="0"/>
        <u val="none"/>
        <vertAlign val="baseline"/>
        <sz val="12"/>
        <color theme="3" tint="-0.249977111117893"/>
        <name val="Calibri"/>
        <family val="2"/>
        <scheme val="minor"/>
      </font>
      <numFmt numFmtId="164" formatCode="[$$-C09]#,##0.00"/>
      <fill>
        <patternFill patternType="solid">
          <fgColor indexed="64"/>
          <bgColor rgb="FFE7E6F7"/>
        </patternFill>
      </fill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2"/>
        <color theme="3" tint="-0.249977111117893"/>
        <name val="Calibri"/>
        <family val="2"/>
        <scheme val="minor"/>
      </font>
      <fill>
        <patternFill patternType="solid">
          <fgColor indexed="64"/>
          <bgColor rgb="FFE7E6F7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 tint="-0.249977111117893"/>
        <name val="Calibri"/>
        <family val="2"/>
        <scheme val="minor"/>
      </font>
      <numFmt numFmtId="19" formatCode="dd/mm/yyyy"/>
      <fill>
        <patternFill patternType="solid">
          <fgColor indexed="64"/>
          <bgColor rgb="FFE7E6F7"/>
        </patternFill>
      </fill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strike val="0"/>
        <outline val="0"/>
        <shadow val="0"/>
        <u val="none"/>
        <vertAlign val="baseline"/>
        <sz val="12"/>
        <color theme="3" tint="-0.249977111117893"/>
        <name val="Calibri"/>
        <family val="2"/>
        <scheme val="minor"/>
      </font>
      <numFmt numFmtId="19" formatCode="dd/mm/yyyy"/>
      <fill>
        <patternFill patternType="solid">
          <fgColor indexed="64"/>
          <bgColor rgb="FFE7E6F7"/>
        </patternFill>
      </fill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2"/>
        <color theme="3" tint="-0.249977111117893"/>
        <name val="Calibri"/>
        <family val="2"/>
        <scheme val="minor"/>
      </font>
      <fill>
        <patternFill patternType="solid">
          <fgColor indexed="64"/>
          <bgColor rgb="FFE7E6F7"/>
        </patternFill>
      </fill>
    </dxf>
    <dxf>
      <border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3"/>
        <color theme="0"/>
        <name val="Calibri"/>
        <family val="2"/>
        <scheme val="minor"/>
      </font>
      <fill>
        <patternFill patternType="solid">
          <fgColor indexed="64"/>
          <bgColor rgb="FF82708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i val="0"/>
        <color rgb="FF827081"/>
        <name val="Calibri"/>
        <family val="2"/>
        <scheme val="minor"/>
      </font>
      <border diagonalUp="0" diagonalDown="0">
        <left/>
        <right/>
        <top/>
        <bottom/>
        <vertical/>
        <horizontal/>
      </border>
    </dxf>
    <dxf>
      <font>
        <b/>
        <i val="0"/>
        <color rgb="FF827081"/>
        <name val="Calibri"/>
        <family val="2"/>
        <scheme val="minor"/>
      </font>
      <fill>
        <patternFill>
          <bgColor rgb="FFE7E6F7"/>
        </patternFill>
      </fill>
    </dxf>
    <dxf>
      <font>
        <b/>
        <i val="0"/>
        <sz val="11"/>
        <color rgb="FF827081"/>
        <name val="Calibri"/>
        <family val="2"/>
        <scheme val="minor"/>
      </font>
    </dxf>
    <dxf>
      <fill>
        <patternFill patternType="solid">
          <fgColor theme="0"/>
          <bgColor rgb="FFE7E6F7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2" defaultTableStyle="TableStyleMedium2" defaultPivotStyle="PivotStyleLight16">
    <tableStyle name="Timeline Style 1" pivot="0" table="0" count="9" xr9:uid="{A1DCED73-5ABC-42D2-860B-DD78699401E2}">
      <tableStyleElement type="wholeTable" dxfId="14"/>
      <tableStyleElement type="headerRow" dxfId="13"/>
    </tableStyle>
    <tableStyle name="tracker" pivot="0" table="0" count="10" xr9:uid="{AC41DD60-9D17-4152-A475-1F09DF74787B}">
      <tableStyleElement type="wholeTable" dxfId="12"/>
      <tableStyleElement type="headerRow" dxfId="11"/>
    </tableStyle>
  </tableStyles>
  <colors>
    <mruColors>
      <color rgb="FF003300"/>
      <color rgb="FF86BFEA"/>
      <color rgb="FFE7E6F7"/>
      <color rgb="FFC6D2ED"/>
      <color rgb="FFFDBBC0"/>
      <color rgb="FFA294A1"/>
      <color rgb="FF827081"/>
      <color rgb="FFF9F9F9"/>
      <color rgb="FFAEA3B0"/>
      <color rgb="FF62ACE4"/>
    </mruColors>
  </colors>
  <extLst>
    <ext xmlns:x14="http://schemas.microsoft.com/office/spreadsheetml/2009/9/main" uri="{46F421CA-312F-682f-3DD2-61675219B42D}">
      <x14:dxfs count="8">
        <dxf>
          <font>
            <b/>
            <i val="0"/>
            <color theme="0"/>
            <name val="Calibri"/>
            <family val="2"/>
            <scheme val="minor"/>
          </font>
          <fill>
            <patternFill>
              <bgColor rgb="FF86BFEA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color theme="0"/>
            <name val="Calibri"/>
            <family val="2"/>
            <scheme val="minor"/>
          </font>
          <fill>
            <patternFill>
              <bgColor rgb="FF86BFEA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color theme="0"/>
            <name val="Calibri"/>
            <family val="2"/>
            <scheme val="minor"/>
          </font>
          <fill>
            <patternFill>
              <bgColor rgb="FF86BFEA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color theme="0"/>
            <name val="Calibri"/>
            <family val="2"/>
            <scheme val="minor"/>
          </font>
          <fill>
            <patternFill>
              <bgColor rgb="FF86BFEA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color theme="0"/>
            <name val="Calibri"/>
            <family val="2"/>
            <scheme val="minor"/>
          </font>
          <fill>
            <patternFill>
              <bgColor rgb="FF7391D3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color theme="0"/>
            <name val="Calibri"/>
            <family val="2"/>
            <scheme val="minor"/>
          </font>
          <fill>
            <patternFill>
              <bgColor rgb="FF7391D3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color theme="0"/>
            <name val="Calibri"/>
            <family val="2"/>
            <scheme val="minor"/>
          </font>
          <fill>
            <patternFill>
              <bgColor rgb="FF82708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>
              <bgColor rgb="FF82708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track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>
              <bgColor rgb="FF827081"/>
            </patternFill>
          </fill>
        </dxf>
        <dxf>
          <fill>
            <patternFill patternType="solid">
              <fgColor theme="0" tint="-0.14996795556505021"/>
              <bgColor rgb="FFF9F9F9"/>
            </patternFill>
          </fill>
        </dxf>
        <dxf>
          <fill>
            <patternFill patternType="solid">
              <fgColor theme="0"/>
              <bgColor rgb="FF82708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sz val="9"/>
            <color rgb="FF827081"/>
            <name val="Calibri"/>
            <family val="2"/>
            <scheme val="minor"/>
          </font>
        </dxf>
        <dxf>
          <font>
            <sz val="9"/>
            <color rgb="FF827081"/>
            <name val="Calibri"/>
            <family val="2"/>
            <scheme val="minor"/>
          </font>
        </dxf>
        <dxf>
          <font>
            <sz val="9"/>
            <color rgb="FF827081"/>
            <name val="Calibri"/>
            <family val="2"/>
            <scheme val="minor"/>
          </font>
        </dxf>
        <dxf>
          <font>
            <sz val="10"/>
            <color rgb="FF827081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751307-6743-4122-B272-D6789056CD63}" name="ExpenseTable" displayName="ExpenseTable" ref="B4:E5" insertRow="1" totalsRowShown="0" headerRowDxfId="10" dataDxfId="8" headerRowBorderDxfId="9" tableBorderDxfId="7" totalsRowBorderDxfId="6">
  <autoFilter ref="B4:E5" xr:uid="{81751307-6743-4122-B272-D6789056CD63}"/>
  <sortState xmlns:xlrd2="http://schemas.microsoft.com/office/spreadsheetml/2017/richdata2" ref="B5:E5">
    <sortCondition ref="B4:B5"/>
  </sortState>
  <tableColumns count="4">
    <tableColumn id="1" xr3:uid="{9EA174B7-BA10-4FC9-A732-E9371029D668}" name="Date" dataDxfId="5"/>
    <tableColumn id="5" xr3:uid="{77B97B86-A650-4F06-BE87-3F923BF4C5B0}" name="Category" dataDxfId="4"/>
    <tableColumn id="3" xr3:uid="{7F3B0208-9D1D-4344-90F0-364CCBAC7939}" name="Description" dataDxfId="3"/>
    <tableColumn id="4" xr3:uid="{018CB1EF-F264-40C5-9F30-41FD682862A1}" name="Amount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2F1D4-2BB5-4F8A-AF09-B35F1ED82683}">
  <sheetPr codeName="Sheet2"/>
  <dimension ref="A1:H5"/>
  <sheetViews>
    <sheetView tabSelected="1" workbookViewId="0">
      <pane ySplit="4" topLeftCell="A5" activePane="bottomLeft" state="frozen"/>
      <selection pane="bottomLeft" activeCell="G13" sqref="G13"/>
    </sheetView>
  </sheetViews>
  <sheetFormatPr defaultRowHeight="14.4" x14ac:dyDescent="0.3"/>
  <cols>
    <col min="2" max="2" width="15.5546875" style="1" customWidth="1"/>
    <col min="3" max="3" width="18.33203125" customWidth="1"/>
    <col min="4" max="4" width="19.21875" customWidth="1"/>
    <col min="5" max="5" width="18.77734375" style="2" customWidth="1"/>
  </cols>
  <sheetData>
    <row r="1" spans="1:8" ht="22.95" customHeight="1" x14ac:dyDescent="0.3">
      <c r="B1" s="13"/>
      <c r="C1" s="13"/>
      <c r="D1" s="13"/>
      <c r="E1" s="13"/>
    </row>
    <row r="2" spans="1:8" ht="43.95" customHeight="1" x14ac:dyDescent="0.3">
      <c r="B2" s="11" t="s">
        <v>13</v>
      </c>
      <c r="C2" s="11"/>
      <c r="D2" s="11"/>
      <c r="E2" s="11"/>
    </row>
    <row r="3" spans="1:8" ht="29.4" customHeight="1" x14ac:dyDescent="0.3">
      <c r="B3" s="12"/>
      <c r="C3" s="12"/>
      <c r="D3" s="12"/>
      <c r="E3" s="12"/>
    </row>
    <row r="4" spans="1:8" ht="17.399999999999999" x14ac:dyDescent="0.35">
      <c r="A4" s="4"/>
      <c r="B4" s="8" t="s">
        <v>0</v>
      </c>
      <c r="C4" s="8" t="s">
        <v>27</v>
      </c>
      <c r="D4" s="9" t="s">
        <v>1</v>
      </c>
      <c r="E4" s="10" t="s">
        <v>2</v>
      </c>
      <c r="F4" s="4"/>
      <c r="H4" s="3"/>
    </row>
    <row r="5" spans="1:8" ht="15.6" x14ac:dyDescent="0.3">
      <c r="A5" s="4"/>
      <c r="B5" s="5"/>
      <c r="C5" s="5"/>
      <c r="D5" s="6"/>
      <c r="E5" s="7"/>
      <c r="F5" s="4"/>
    </row>
  </sheetData>
  <mergeCells count="3">
    <mergeCell ref="B2:E2"/>
    <mergeCell ref="B3:E3"/>
    <mergeCell ref="B1:E1"/>
  </mergeCells>
  <dataValidations count="1">
    <dataValidation type="list" allowBlank="1" showInputMessage="1" showErrorMessage="1" sqref="C5:C1048576" xr:uid="{6427D045-6FD1-4DCA-B6EC-D6FC664D797C}">
      <formula1>CategoryList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C2A8E-86D3-4B60-A2B9-1A40D2B1C52B}">
  <dimension ref="B2:W29"/>
  <sheetViews>
    <sheetView showGridLines="0" topLeftCell="A3" workbookViewId="0">
      <selection activeCell="L6" sqref="L6"/>
    </sheetView>
  </sheetViews>
  <sheetFormatPr defaultRowHeight="14.4" x14ac:dyDescent="0.3"/>
  <sheetData>
    <row r="2" spans="2:23" x14ac:dyDescent="0.3">
      <c r="B2" s="48" t="s">
        <v>30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2:23" x14ac:dyDescent="0.3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5" spans="2:23" ht="18" x14ac:dyDescent="0.35">
      <c r="B5" s="59" t="s">
        <v>15</v>
      </c>
      <c r="C5" s="59"/>
      <c r="D5" s="60"/>
      <c r="E5" s="61">
        <v>2024</v>
      </c>
      <c r="F5" s="61"/>
      <c r="G5" s="62"/>
      <c r="I5" s="59" t="s">
        <v>6</v>
      </c>
      <c r="J5" s="59"/>
      <c r="K5" s="60"/>
      <c r="L5" s="61" t="s">
        <v>25</v>
      </c>
      <c r="M5" s="61"/>
      <c r="N5" s="61"/>
      <c r="Q5" s="49" t="s">
        <v>31</v>
      </c>
      <c r="R5" s="49"/>
      <c r="S5" s="49"/>
      <c r="T5" s="49"/>
      <c r="U5" s="49"/>
      <c r="V5" s="49"/>
      <c r="W5" s="49"/>
    </row>
    <row r="6" spans="2:23" ht="15" thickBot="1" x14ac:dyDescent="0.35"/>
    <row r="7" spans="2:23" ht="19.2" thickTop="1" thickBot="1" x14ac:dyDescent="0.4">
      <c r="B7" s="38" t="s">
        <v>36</v>
      </c>
      <c r="C7" s="38"/>
      <c r="D7" s="38"/>
      <c r="E7" s="16" t="e">
        <f>SUMPRODUCT(
    (MONTH(ExpenseTable[Date]) = MONTH(DATEVALUE("1-" &amp; 'Quick Expense Calculator'!$L$5 &amp; "-2024"))) *
    (YEAR(ExpenseTable[Date]) = 'Quick Expense Calculator'!$E$5) *
    (ExpenseTable[Category] = 'Quick Expense Calculator'!$B$7),
    ExpenseTable[Amount]
)</f>
        <v>#VALUE!</v>
      </c>
      <c r="F7" s="16"/>
      <c r="G7" s="16"/>
      <c r="I7" s="17" t="s">
        <v>37</v>
      </c>
      <c r="J7" s="17"/>
      <c r="K7" s="17"/>
      <c r="L7" s="18" t="e">
        <f>$E$7-$B$11</f>
        <v>#VALUE!</v>
      </c>
      <c r="M7" s="19"/>
      <c r="N7" s="19"/>
      <c r="P7" s="15" t="s">
        <v>39</v>
      </c>
      <c r="Q7" s="15"/>
      <c r="R7" s="15"/>
      <c r="S7" s="15"/>
      <c r="T7" s="15"/>
      <c r="U7" s="15"/>
      <c r="V7" s="15"/>
      <c r="W7" s="15"/>
    </row>
    <row r="8" spans="2:23" ht="15" thickTop="1" x14ac:dyDescent="0.3">
      <c r="P8" s="15" t="s">
        <v>40</v>
      </c>
      <c r="Q8" s="15"/>
      <c r="R8" s="15"/>
      <c r="S8" s="15"/>
      <c r="T8" s="15"/>
      <c r="U8" s="15"/>
      <c r="V8" s="15"/>
      <c r="W8" s="15"/>
    </row>
    <row r="9" spans="2:23" ht="15" thickBot="1" x14ac:dyDescent="0.35">
      <c r="P9" s="15" t="s">
        <v>55</v>
      </c>
      <c r="Q9" s="15"/>
      <c r="R9" s="15"/>
      <c r="S9" s="15"/>
      <c r="T9" s="15"/>
      <c r="U9" s="15"/>
      <c r="V9" s="15"/>
      <c r="W9" s="15"/>
    </row>
    <row r="10" spans="2:23" ht="19.2" thickTop="1" thickBot="1" x14ac:dyDescent="0.4">
      <c r="B10" s="38" t="s">
        <v>38</v>
      </c>
      <c r="C10" s="38"/>
      <c r="D10" s="38"/>
      <c r="E10" s="55" t="s">
        <v>45</v>
      </c>
      <c r="F10" s="56"/>
      <c r="G10" s="57"/>
      <c r="I10" s="53" t="s">
        <v>29</v>
      </c>
      <c r="J10" s="53"/>
      <c r="K10" s="53"/>
      <c r="L10" s="53"/>
      <c r="M10" s="53"/>
      <c r="N10" s="53"/>
      <c r="P10" s="15" t="s">
        <v>41</v>
      </c>
      <c r="Q10" s="15"/>
      <c r="R10" s="15"/>
      <c r="S10" s="15"/>
      <c r="T10" s="15"/>
      <c r="U10" s="15"/>
      <c r="V10" s="15"/>
      <c r="W10" s="15"/>
    </row>
    <row r="11" spans="2:23" ht="16.95" customHeight="1" thickTop="1" thickBot="1" x14ac:dyDescent="0.35">
      <c r="B11" s="58" t="e">
        <f>SUMPRODUCT(
    (MONTH(ExpenseTable[Date])=MONTH(DATEVALUE("01-"&amp;$L$5&amp;"-2024"))) *
    (YEAR(ExpenseTable[Date])='Quick Expense Calculator'!$E$5) *
    (NOT(ISNUMBER(MATCH(ExpenseTable[Category], {"Savings","Income"}, 0)))),
    ExpenseTable[Amount]
)</f>
        <v>#VALUE!</v>
      </c>
      <c r="C11" s="58"/>
      <c r="D11" s="58"/>
      <c r="E11" s="39" t="e">
        <f>SUMPRODUCT(
    (MONTH(ExpenseTable[Date]) = MONTH(DATEVALUE("1-" &amp; 'Quick Expense Calculator'!$L$5 &amp; "-2024"))) *
    (YEAR(ExpenseTable[Date]) = 'Quick Expense Calculator'!$E$5) *
    (ExpenseTable[Category] = 'Quick Expense Calculator'!I21),
    ExpenseTable[Amount]
)</f>
        <v>#VALUE!</v>
      </c>
      <c r="F11" s="39"/>
      <c r="G11" s="39"/>
      <c r="I11" s="43" t="s">
        <v>3</v>
      </c>
      <c r="J11" s="43"/>
      <c r="K11" s="43"/>
      <c r="L11" s="44" t="e">
        <f>SUMPRODUCT(
    (MONTH(ExpenseTable[Date]) = MONTH(DATEVALUE("1-" &amp; 'Quick Expense Calculator'!$L$5 &amp; "-2024"))) *
    (YEAR(ExpenseTable[Date]) = 'Quick Expense Calculator'!$E$5) *
    (ExpenseTable[Category] = 'Quick Expense Calculator'!I11),
    ExpenseTable[Amount]
)</f>
        <v>#VALUE!</v>
      </c>
      <c r="M11" s="45"/>
      <c r="N11" s="45"/>
      <c r="P11" s="15" t="s">
        <v>48</v>
      </c>
      <c r="Q11" s="15"/>
      <c r="R11" s="15"/>
      <c r="S11" s="15"/>
      <c r="T11" s="15"/>
      <c r="U11" s="15"/>
      <c r="V11" s="15"/>
      <c r="W11" s="15"/>
    </row>
    <row r="12" spans="2:23" ht="16.95" customHeight="1" thickTop="1" thickBot="1" x14ac:dyDescent="0.35">
      <c r="B12" s="58"/>
      <c r="C12" s="58"/>
      <c r="D12" s="58"/>
      <c r="E12" s="39"/>
      <c r="F12" s="39"/>
      <c r="G12" s="39"/>
      <c r="I12" s="43" t="s">
        <v>7</v>
      </c>
      <c r="J12" s="43"/>
      <c r="K12" s="43"/>
      <c r="L12" s="44" t="e">
        <f>SUMPRODUCT(
    (MONTH(ExpenseTable[Date]) = MONTH(DATEVALUE("1-" &amp; 'Quick Expense Calculator'!$L$5 &amp; "-2024"))) *
    (YEAR(ExpenseTable[Date]) = 'Quick Expense Calculator'!$E$5) *
    (ExpenseTable[Category] = 'Quick Expense Calculator'!I12),
    ExpenseTable[Amount]
)</f>
        <v>#VALUE!</v>
      </c>
      <c r="M12" s="45"/>
      <c r="N12" s="45"/>
      <c r="P12" s="15" t="s">
        <v>49</v>
      </c>
      <c r="Q12" s="15"/>
      <c r="R12" s="15"/>
      <c r="S12" s="15"/>
      <c r="T12" s="15"/>
      <c r="U12" s="15"/>
      <c r="V12" s="15"/>
      <c r="W12" s="15"/>
    </row>
    <row r="13" spans="2:23" ht="16.95" customHeight="1" thickTop="1" thickBot="1" x14ac:dyDescent="0.35">
      <c r="B13" s="58"/>
      <c r="C13" s="58"/>
      <c r="D13" s="58"/>
      <c r="E13" s="39"/>
      <c r="F13" s="39"/>
      <c r="G13" s="39"/>
      <c r="I13" s="43" t="s">
        <v>5</v>
      </c>
      <c r="J13" s="43"/>
      <c r="K13" s="43"/>
      <c r="L13" s="44" t="e">
        <f>SUMPRODUCT(
    (MONTH(ExpenseTable[Date]) = MONTH(DATEVALUE("1-" &amp; 'Quick Expense Calculator'!$L$5 &amp; "-2024"))) *
    (YEAR(ExpenseTable[Date]) = 'Quick Expense Calculator'!$E$5) *
    (ExpenseTable[Category] = 'Quick Expense Calculator'!I13),
    ExpenseTable[Amount]
)</f>
        <v>#VALUE!</v>
      </c>
      <c r="M13" s="45"/>
      <c r="N13" s="45"/>
      <c r="P13" s="15" t="s">
        <v>50</v>
      </c>
      <c r="Q13" s="15"/>
      <c r="R13" s="15"/>
      <c r="S13" s="15"/>
      <c r="T13" s="15"/>
      <c r="U13" s="15"/>
      <c r="V13" s="15"/>
      <c r="W13" s="15"/>
    </row>
    <row r="14" spans="2:23" ht="16.8" thickTop="1" thickBot="1" x14ac:dyDescent="0.35">
      <c r="I14" s="43" t="s">
        <v>4</v>
      </c>
      <c r="J14" s="43"/>
      <c r="K14" s="43"/>
      <c r="L14" s="44" t="e">
        <f>SUMPRODUCT(
    (MONTH(ExpenseTable[Date]) = MONTH(DATEVALUE("1-" &amp; 'Quick Expense Calculator'!$L$5 &amp; "-2024"))) *
    (YEAR(ExpenseTable[Date]) = 'Quick Expense Calculator'!$E$5) *
    (ExpenseTable[Category] = 'Quick Expense Calculator'!I14),
    ExpenseTable[Amount]
)</f>
        <v>#VALUE!</v>
      </c>
      <c r="M14" s="45"/>
      <c r="N14" s="45"/>
      <c r="P14" s="15" t="s">
        <v>42</v>
      </c>
      <c r="Q14" s="15"/>
      <c r="R14" s="15"/>
      <c r="S14" s="15"/>
      <c r="T14" s="15"/>
      <c r="U14" s="15"/>
      <c r="V14" s="15"/>
      <c r="W14" s="15"/>
    </row>
    <row r="15" spans="2:23" ht="16.8" thickTop="1" thickBot="1" x14ac:dyDescent="0.35">
      <c r="I15" s="43" t="s">
        <v>9</v>
      </c>
      <c r="J15" s="43"/>
      <c r="K15" s="43"/>
      <c r="L15" s="44" t="e">
        <f>SUMPRODUCT(
    (MONTH(ExpenseTable[Date]) = MONTH(DATEVALUE("1-" &amp; 'Quick Expense Calculator'!$L$5 &amp; "-2024"))) *
    (YEAR(ExpenseTable[Date]) = 'Quick Expense Calculator'!$E$5) *
    (ExpenseTable[Category] = 'Quick Expense Calculator'!I15),
    ExpenseTable[Amount]
)</f>
        <v>#VALUE!</v>
      </c>
      <c r="M15" s="45"/>
      <c r="N15" s="45"/>
      <c r="P15" s="15" t="s">
        <v>43</v>
      </c>
      <c r="Q15" s="15"/>
      <c r="R15" s="15"/>
      <c r="S15" s="15"/>
      <c r="T15" s="15"/>
      <c r="U15" s="15"/>
      <c r="V15" s="15"/>
      <c r="W15" s="15"/>
    </row>
    <row r="16" spans="2:23" ht="19.2" thickTop="1" thickBot="1" x14ac:dyDescent="0.4">
      <c r="B16" s="53" t="s">
        <v>28</v>
      </c>
      <c r="C16" s="53"/>
      <c r="D16" s="53"/>
      <c r="E16" s="53"/>
      <c r="F16" s="53"/>
      <c r="G16" s="53"/>
      <c r="I16" s="43" t="s">
        <v>10</v>
      </c>
      <c r="J16" s="43"/>
      <c r="K16" s="43"/>
      <c r="L16" s="44" t="e">
        <f>SUMPRODUCT(
    (MONTH(ExpenseTable[Date]) = MONTH(DATEVALUE("1-" &amp; 'Quick Expense Calculator'!$L$5 &amp; "-2024"))) *
    (YEAR(ExpenseTable[Date]) = 'Quick Expense Calculator'!$E$5) *
    (ExpenseTable[Category] = 'Quick Expense Calculator'!I16),
    ExpenseTable[Amount]
)</f>
        <v>#VALUE!</v>
      </c>
      <c r="M16" s="45"/>
      <c r="N16" s="45"/>
      <c r="P16" s="15" t="s">
        <v>51</v>
      </c>
      <c r="Q16" s="15"/>
      <c r="R16" s="15"/>
      <c r="S16" s="15"/>
      <c r="T16" s="15"/>
      <c r="U16" s="15"/>
      <c r="V16" s="15"/>
      <c r="W16" s="15"/>
    </row>
    <row r="17" spans="2:23" ht="16.8" thickTop="1" thickBot="1" x14ac:dyDescent="0.35">
      <c r="B17" s="54" t="s">
        <v>16</v>
      </c>
      <c r="C17" s="54"/>
      <c r="D17" s="54"/>
      <c r="E17" s="40" t="e">
        <f>SUMPRODUCT(
    (MONTH(ExpenseTable[Date])=MONTH(DATEVALUE("01-" &amp; B17 &amp; "-2024"))) *
    (YEAR(ExpenseTable[Date])='Quick Expense Calculator'!$E$5) *
    (NOT(ISNUMBER(MATCH(ExpenseTable[Category], {"Savings","Income"}, 0)))),
    ExpenseTable[Amount]
)</f>
        <v>#VALUE!</v>
      </c>
      <c r="F17" s="41"/>
      <c r="G17" s="42"/>
      <c r="I17" s="43" t="s">
        <v>34</v>
      </c>
      <c r="J17" s="43"/>
      <c r="K17" s="43"/>
      <c r="L17" s="44" t="e">
        <f>SUMPRODUCT(
    (MONTH(ExpenseTable[Date]) = MONTH(DATEVALUE("1-" &amp; 'Quick Expense Calculator'!$L$5 &amp; "-2024"))) *
    (YEAR(ExpenseTable[Date]) = 'Quick Expense Calculator'!$E$5) *
    (ExpenseTable[Category] = 'Quick Expense Calculator'!I17),
    ExpenseTable[Amount]
)</f>
        <v>#VALUE!</v>
      </c>
      <c r="M17" s="45"/>
      <c r="N17" s="45"/>
      <c r="P17" s="15" t="s">
        <v>44</v>
      </c>
      <c r="Q17" s="15"/>
      <c r="R17" s="15"/>
      <c r="S17" s="15"/>
      <c r="T17" s="15"/>
      <c r="U17" s="15"/>
      <c r="V17" s="15"/>
      <c r="W17" s="15"/>
    </row>
    <row r="18" spans="2:23" ht="16.8" thickTop="1" thickBot="1" x14ac:dyDescent="0.35">
      <c r="B18" s="54" t="s">
        <v>17</v>
      </c>
      <c r="C18" s="54"/>
      <c r="D18" s="54"/>
      <c r="E18" s="40" t="e">
        <f>SUMPRODUCT(
    (MONTH(ExpenseTable[Date])=MONTH(DATEVALUE("01-" &amp; B18 &amp; "-2024"))) *
    (YEAR(ExpenseTable[Date])='Quick Expense Calculator'!$E$5) *
    (NOT(ISNUMBER(MATCH(ExpenseTable[Category], {"Savings","Income"}, 0)))),
    ExpenseTable[Amount]
)</f>
        <v>#VALUE!</v>
      </c>
      <c r="F18" s="41"/>
      <c r="G18" s="42"/>
      <c r="I18" s="50" t="s">
        <v>32</v>
      </c>
      <c r="J18" s="51"/>
      <c r="K18" s="52"/>
      <c r="L18" s="44" t="e">
        <f>SUMPRODUCT(
    (MONTH(ExpenseTable[Date]) = MONTH(DATEVALUE("1-" &amp; 'Quick Expense Calculator'!$L$5 &amp; "-2024"))) *
    (YEAR(ExpenseTable[Date]) = 'Quick Expense Calculator'!$E$5) *
    (ExpenseTable[Category] = 'Quick Expense Calculator'!I18),
    ExpenseTable[Amount]
)</f>
        <v>#VALUE!</v>
      </c>
      <c r="M18" s="45"/>
      <c r="N18" s="45"/>
      <c r="P18" s="15" t="s">
        <v>52</v>
      </c>
      <c r="Q18" s="15"/>
      <c r="R18" s="15"/>
      <c r="S18" s="15"/>
      <c r="T18" s="15"/>
      <c r="U18" s="15"/>
      <c r="V18" s="15"/>
      <c r="W18" s="15"/>
    </row>
    <row r="19" spans="2:23" ht="16.8" thickTop="1" thickBot="1" x14ac:dyDescent="0.35">
      <c r="B19" s="54" t="s">
        <v>18</v>
      </c>
      <c r="C19" s="54"/>
      <c r="D19" s="54"/>
      <c r="E19" s="40" t="e">
        <f>SUMPRODUCT(
    (MONTH(ExpenseTable[Date])=MONTH(DATEVALUE("01-" &amp; B19 &amp; "-2024"))) *
    (YEAR(ExpenseTable[Date])='Quick Expense Calculator'!$E$5) *
    (NOT(ISNUMBER(MATCH(ExpenseTable[Category], {"Savings","Income"}, 0)))),
    ExpenseTable[Amount]
)</f>
        <v>#VALUE!</v>
      </c>
      <c r="F19" s="41"/>
      <c r="G19" s="42"/>
      <c r="I19" s="50" t="s">
        <v>33</v>
      </c>
      <c r="J19" s="51"/>
      <c r="K19" s="52"/>
      <c r="L19" s="44" t="e">
        <f>SUMPRODUCT(
    (MONTH(ExpenseTable[Date]) = MONTH(DATEVALUE("1-" &amp; 'Quick Expense Calculator'!$L$5 &amp; "-2024"))) *
    (YEAR(ExpenseTable[Date]) = 'Quick Expense Calculator'!$E$5) *
    (ExpenseTable[Category] = 'Quick Expense Calculator'!I19),
    ExpenseTable[Amount]
)</f>
        <v>#VALUE!</v>
      </c>
      <c r="M19" s="45"/>
      <c r="N19" s="45"/>
      <c r="P19" s="15" t="s">
        <v>53</v>
      </c>
      <c r="Q19" s="15"/>
      <c r="R19" s="15"/>
      <c r="S19" s="15"/>
      <c r="T19" s="15"/>
      <c r="U19" s="15"/>
      <c r="V19" s="15"/>
      <c r="W19" s="15"/>
    </row>
    <row r="20" spans="2:23" ht="16.8" thickTop="1" thickBot="1" x14ac:dyDescent="0.35">
      <c r="B20" s="54" t="s">
        <v>19</v>
      </c>
      <c r="C20" s="54"/>
      <c r="D20" s="54"/>
      <c r="E20" s="40" t="e">
        <f>SUMPRODUCT(
    (MONTH(ExpenseTable[Date])=MONTH(DATEVALUE("01-" &amp; B20 &amp; "-2024"))) *
    (YEAR(ExpenseTable[Date])='Quick Expense Calculator'!$E$5) *
    (NOT(ISNUMBER(MATCH(ExpenseTable[Category], {"Savings","Income"}, 0)))),
    ExpenseTable[Amount]
)</f>
        <v>#VALUE!</v>
      </c>
      <c r="F20" s="41"/>
      <c r="G20" s="42"/>
      <c r="I20" s="43" t="s">
        <v>8</v>
      </c>
      <c r="J20" s="43"/>
      <c r="K20" s="43"/>
      <c r="L20" s="44" t="e">
        <f>SUMPRODUCT(
    (MONTH(ExpenseTable[Date]) = MONTH(DATEVALUE("1-" &amp; 'Quick Expense Calculator'!$L$5 &amp; "-2024"))) *
    (YEAR(ExpenseTable[Date]) = 'Quick Expense Calculator'!$E$5) *
    (ExpenseTable[Category] = 'Quick Expense Calculator'!I20),
    ExpenseTable[Amount]
)</f>
        <v>#VALUE!</v>
      </c>
      <c r="M20" s="45"/>
      <c r="N20" s="45"/>
      <c r="P20" s="15" t="s">
        <v>54</v>
      </c>
      <c r="Q20" s="15"/>
      <c r="R20" s="15"/>
      <c r="S20" s="15"/>
      <c r="T20" s="15"/>
      <c r="U20" s="15"/>
      <c r="V20" s="15"/>
      <c r="W20" s="15"/>
    </row>
    <row r="21" spans="2:23" ht="16.8" thickTop="1" thickBot="1" x14ac:dyDescent="0.35">
      <c r="B21" s="54" t="s">
        <v>20</v>
      </c>
      <c r="C21" s="54"/>
      <c r="D21" s="54"/>
      <c r="E21" s="40" t="e">
        <f>SUMPRODUCT(
    (MONTH(ExpenseTable[Date])=MONTH(DATEVALUE("01-" &amp; B21 &amp; "-2024"))) *
    (YEAR(ExpenseTable[Date])='Quick Expense Calculator'!$E$5) *
    (NOT(ISNUMBER(MATCH(ExpenseTable[Category], {"Savings","Income"}, 0)))),
    ExpenseTable[Amount]
)</f>
        <v>#VALUE!</v>
      </c>
      <c r="F21" s="41"/>
      <c r="G21" s="42"/>
      <c r="I21" s="43" t="s">
        <v>11</v>
      </c>
      <c r="J21" s="43"/>
      <c r="K21" s="43"/>
      <c r="L21" s="46" t="e">
        <f>SUMPRODUCT(
    (MONTH(ExpenseTable[Date]) = MONTH(DATEVALUE("1-" &amp; 'Quick Expense Calculator'!$L$5 &amp; "-2024"))) *
    (YEAR(ExpenseTable[Date]) = 'Quick Expense Calculator'!$E$5) *
    (ExpenseTable[Category] = 'Quick Expense Calculator'!I21),
    ExpenseTable[Amount]
)</f>
        <v>#VALUE!</v>
      </c>
      <c r="M21" s="47"/>
      <c r="N21" s="47"/>
      <c r="P21" s="15" t="s">
        <v>56</v>
      </c>
      <c r="Q21" s="15"/>
      <c r="R21" s="15"/>
      <c r="S21" s="15"/>
      <c r="T21" s="15"/>
      <c r="U21" s="15"/>
      <c r="V21" s="15"/>
      <c r="W21" s="15"/>
    </row>
    <row r="22" spans="2:23" ht="16.8" thickTop="1" thickBot="1" x14ac:dyDescent="0.35">
      <c r="B22" s="54" t="s">
        <v>21</v>
      </c>
      <c r="C22" s="54"/>
      <c r="D22" s="54"/>
      <c r="E22" s="40" t="e">
        <f>SUMPRODUCT(
    (MONTH(ExpenseTable[Date])=MONTH(DATEVALUE("01-" &amp; B22 &amp; "-2024"))) *
    (YEAR(ExpenseTable[Date])='Quick Expense Calculator'!$E$5) *
    (NOT(ISNUMBER(MATCH(ExpenseTable[Category], {"Savings","Income"}, 0)))),
    ExpenseTable[Amount]
)</f>
        <v>#VALUE!</v>
      </c>
      <c r="F22" s="41"/>
      <c r="G22" s="42"/>
      <c r="P22" s="15" t="s">
        <v>57</v>
      </c>
      <c r="Q22" s="15"/>
      <c r="R22" s="15"/>
      <c r="S22" s="15"/>
      <c r="T22" s="15"/>
      <c r="U22" s="15"/>
      <c r="V22" s="15"/>
      <c r="W22" s="15"/>
    </row>
    <row r="23" spans="2:23" ht="19.2" thickTop="1" thickBot="1" x14ac:dyDescent="0.4">
      <c r="B23" s="54" t="s">
        <v>22</v>
      </c>
      <c r="C23" s="54"/>
      <c r="D23" s="54"/>
      <c r="E23" s="40" t="e">
        <f>SUMPRODUCT(
    (MONTH(ExpenseTable[Date])=MONTH(DATEVALUE("01-" &amp; B23 &amp; "-2024"))) *
    (YEAR(ExpenseTable[Date])='Quick Expense Calculator'!$E$5) *
    (NOT(ISNUMBER(MATCH(ExpenseTable[Category], {"Savings","Income"}, 0)))),
    ExpenseTable[Amount]
)</f>
        <v>#VALUE!</v>
      </c>
      <c r="F23" s="41"/>
      <c r="G23" s="42"/>
      <c r="I23" s="38" t="s">
        <v>46</v>
      </c>
      <c r="J23" s="38"/>
      <c r="K23" s="38"/>
      <c r="L23" s="38" t="s">
        <v>47</v>
      </c>
      <c r="M23" s="38"/>
      <c r="N23" s="38"/>
      <c r="P23" s="15" t="s">
        <v>58</v>
      </c>
      <c r="Q23" s="15"/>
      <c r="R23" s="15"/>
      <c r="S23" s="15"/>
      <c r="T23" s="15"/>
      <c r="U23" s="15"/>
      <c r="V23" s="15"/>
      <c r="W23" s="15"/>
    </row>
    <row r="24" spans="2:23" ht="16.95" customHeight="1" thickTop="1" thickBot="1" x14ac:dyDescent="0.35">
      <c r="B24" s="54" t="s">
        <v>14</v>
      </c>
      <c r="C24" s="54"/>
      <c r="D24" s="54"/>
      <c r="E24" s="40" t="e">
        <f>SUMPRODUCT(
    (MONTH(ExpenseTable[Date])=MONTH(DATEVALUE("01-" &amp; B24 &amp; "-2024"))) *
    (YEAR(ExpenseTable[Date])='Quick Expense Calculator'!$E$5) *
    (NOT(ISNUMBER(MATCH(ExpenseTable[Category], {"Savings","Income"}, 0)))),
    ExpenseTable[Amount]
)</f>
        <v>#VALUE!</v>
      </c>
      <c r="F24" s="41"/>
      <c r="G24" s="42"/>
      <c r="I24" s="20" t="e">
        <f>SUMPRODUCT(
    (YEAR(ExpenseTable[Date])='Quick Expense Calculator'!$E$5) *
    (NOT(ISNUMBER(MATCH(ExpenseTable[Category], {"Savings","Income"}, 0)))),
    ExpenseTable[Amount]
)</f>
        <v>#VALUE!</v>
      </c>
      <c r="J24" s="21"/>
      <c r="K24" s="22"/>
      <c r="L24" s="29" t="e">
        <f>SUMPRODUCT(
                 (YEAR(ExpenseTable[Date])='Quick Expense Calculator'!$E$5)*
                 (ExpenseTable[Category]="Savings"), ExpenseTable[Amount])</f>
        <v>#VALUE!</v>
      </c>
      <c r="M24" s="30"/>
      <c r="N24" s="31"/>
      <c r="P24" s="15" t="s">
        <v>59</v>
      </c>
      <c r="Q24" s="15"/>
      <c r="R24" s="15"/>
      <c r="S24" s="15"/>
      <c r="T24" s="15"/>
      <c r="U24" s="15"/>
      <c r="V24" s="15"/>
      <c r="W24" s="15"/>
    </row>
    <row r="25" spans="2:23" ht="16.95" customHeight="1" thickTop="1" thickBot="1" x14ac:dyDescent="0.35">
      <c r="B25" s="54" t="s">
        <v>23</v>
      </c>
      <c r="C25" s="54"/>
      <c r="D25" s="54"/>
      <c r="E25" s="40" t="e">
        <f>SUMPRODUCT(
    (MONTH(ExpenseTable[Date])=MONTH(DATEVALUE("01-" &amp; B25 &amp; "-2024"))) *
    (YEAR(ExpenseTable[Date])='Quick Expense Calculator'!$E$5) *
    (NOT(ISNUMBER(MATCH(ExpenseTable[Category], {"Savings","Income"}, 0)))),
    ExpenseTable[Amount]
)</f>
        <v>#VALUE!</v>
      </c>
      <c r="F25" s="41"/>
      <c r="G25" s="42"/>
      <c r="I25" s="23"/>
      <c r="J25" s="24"/>
      <c r="K25" s="25"/>
      <c r="L25" s="32"/>
      <c r="M25" s="33"/>
      <c r="N25" s="34"/>
      <c r="P25" s="14" t="s">
        <v>60</v>
      </c>
      <c r="Q25" s="14"/>
      <c r="R25" s="14"/>
      <c r="S25" s="14"/>
      <c r="T25" s="14"/>
      <c r="U25" s="14"/>
      <c r="V25" s="14"/>
      <c r="W25" s="14"/>
    </row>
    <row r="26" spans="2:23" ht="16.95" customHeight="1" thickTop="1" thickBot="1" x14ac:dyDescent="0.35">
      <c r="B26" s="54" t="s">
        <v>24</v>
      </c>
      <c r="C26" s="54"/>
      <c r="D26" s="54"/>
      <c r="E26" s="40" t="e">
        <f>SUMPRODUCT(
    (MONTH(ExpenseTable[Date])=MONTH(DATEVALUE("01-" &amp; B26 &amp; "-2024"))) *
    (YEAR(ExpenseTable[Date])='Quick Expense Calculator'!$E$5) *
    (NOT(ISNUMBER(MATCH(ExpenseTable[Category], {"Savings","Income"}, 0)))),
    ExpenseTable[Amount]
)</f>
        <v>#VALUE!</v>
      </c>
      <c r="F26" s="41"/>
      <c r="G26" s="42"/>
      <c r="I26" s="26"/>
      <c r="J26" s="27"/>
      <c r="K26" s="28"/>
      <c r="L26" s="35"/>
      <c r="M26" s="36"/>
      <c r="N26" s="37"/>
      <c r="P26" s="14" t="s">
        <v>61</v>
      </c>
      <c r="Q26" s="14"/>
      <c r="R26" s="14"/>
      <c r="S26" s="14"/>
      <c r="T26" s="14"/>
      <c r="U26" s="14"/>
      <c r="V26" s="14"/>
      <c r="W26" s="14"/>
    </row>
    <row r="27" spans="2:23" ht="16.8" thickTop="1" thickBot="1" x14ac:dyDescent="0.35">
      <c r="B27" s="54" t="s">
        <v>25</v>
      </c>
      <c r="C27" s="54"/>
      <c r="D27" s="54"/>
      <c r="E27" s="40" t="e">
        <f>SUMPRODUCT(
    (MONTH(ExpenseTable[Date])=MONTH(DATEVALUE("01-" &amp; B27 &amp; "-2024"))) *
    (YEAR(ExpenseTable[Date])='Quick Expense Calculator'!$E$5) *
    (NOT(ISNUMBER(MATCH(ExpenseTable[Category], {"Savings","Income"}, 0)))),
    ExpenseTable[Amount]
)</f>
        <v>#VALUE!</v>
      </c>
      <c r="F27" s="41"/>
      <c r="G27" s="42"/>
      <c r="P27" s="14" t="s">
        <v>62</v>
      </c>
      <c r="Q27" s="14"/>
      <c r="R27" s="14"/>
      <c r="S27" s="14"/>
      <c r="T27" s="14"/>
      <c r="U27" s="14"/>
      <c r="V27" s="14"/>
      <c r="W27" s="14"/>
    </row>
    <row r="28" spans="2:23" ht="16.8" thickTop="1" thickBot="1" x14ac:dyDescent="0.35">
      <c r="B28" s="54" t="s">
        <v>26</v>
      </c>
      <c r="C28" s="54"/>
      <c r="D28" s="54"/>
      <c r="E28" s="40" t="e">
        <f>SUMPRODUCT(
    (MONTH(ExpenseTable[Date])=MONTH(DATEVALUE("01-" &amp; B28 &amp; "-2024"))) *
    (YEAR(ExpenseTable[Date])='Quick Expense Calculator'!$E$5) *
    (NOT(ISNUMBER(MATCH(ExpenseTable[Category], {"Savings","Income"}, 0)))),
    ExpenseTable[Amount]
)</f>
        <v>#VALUE!</v>
      </c>
      <c r="F28" s="41"/>
      <c r="G28" s="42"/>
      <c r="P28" s="14" t="s">
        <v>63</v>
      </c>
      <c r="Q28" s="14"/>
      <c r="R28" s="14"/>
      <c r="S28" s="14"/>
      <c r="T28" s="14"/>
      <c r="U28" s="14"/>
      <c r="V28" s="14"/>
      <c r="W28" s="14"/>
    </row>
    <row r="29" spans="2:23" ht="15" thickTop="1" x14ac:dyDescent="0.3">
      <c r="P29" s="14" t="s">
        <v>64</v>
      </c>
      <c r="Q29" s="15"/>
      <c r="R29" s="15"/>
      <c r="S29" s="15"/>
      <c r="T29" s="15"/>
      <c r="U29" s="15"/>
      <c r="V29" s="15"/>
      <c r="W29" s="15"/>
    </row>
  </sheetData>
  <sheetProtection algorithmName="SHA-512" hashValue="c5/i4JNYnJqWLRxuaIDrwRpgKpHd8jKEutdsi2rCVVH1GxitTiMyiNI/EQBDyD1ldDGPoMXYi9EH6mYD3M71Aw==" saltValue="w6ZewbxNulVVdML+j0o8Ww==" spinCount="100000" sheet="1" objects="1" scenarios="1"/>
  <mergeCells count="89">
    <mergeCell ref="B5:D5"/>
    <mergeCell ref="E5:G5"/>
    <mergeCell ref="I5:K5"/>
    <mergeCell ref="L5:N5"/>
    <mergeCell ref="L11:N11"/>
    <mergeCell ref="I13:K13"/>
    <mergeCell ref="L13:N13"/>
    <mergeCell ref="I14:K14"/>
    <mergeCell ref="L14:N14"/>
    <mergeCell ref="I10:N10"/>
    <mergeCell ref="B21:D21"/>
    <mergeCell ref="B22:D22"/>
    <mergeCell ref="B23:D23"/>
    <mergeCell ref="B24:D24"/>
    <mergeCell ref="B25:D25"/>
    <mergeCell ref="E27:G27"/>
    <mergeCell ref="E28:G28"/>
    <mergeCell ref="B10:D10"/>
    <mergeCell ref="E10:G10"/>
    <mergeCell ref="B11:D13"/>
    <mergeCell ref="B26:D26"/>
    <mergeCell ref="B27:D27"/>
    <mergeCell ref="B28:D28"/>
    <mergeCell ref="E17:G17"/>
    <mergeCell ref="E18:G18"/>
    <mergeCell ref="E19:G19"/>
    <mergeCell ref="E20:G20"/>
    <mergeCell ref="E21:G21"/>
    <mergeCell ref="E22:G22"/>
    <mergeCell ref="E23:G23"/>
    <mergeCell ref="B20:D20"/>
    <mergeCell ref="B2:N3"/>
    <mergeCell ref="Q5:W5"/>
    <mergeCell ref="I18:K18"/>
    <mergeCell ref="L18:N18"/>
    <mergeCell ref="I19:K19"/>
    <mergeCell ref="L19:N19"/>
    <mergeCell ref="B7:D7"/>
    <mergeCell ref="B16:G16"/>
    <mergeCell ref="B17:D17"/>
    <mergeCell ref="B18:D18"/>
    <mergeCell ref="B19:D19"/>
    <mergeCell ref="I15:K15"/>
    <mergeCell ref="L15:N15"/>
    <mergeCell ref="I16:K16"/>
    <mergeCell ref="L16:N16"/>
    <mergeCell ref="I17:K17"/>
    <mergeCell ref="I24:K26"/>
    <mergeCell ref="L24:N26"/>
    <mergeCell ref="I23:K23"/>
    <mergeCell ref="L23:N23"/>
    <mergeCell ref="E11:G13"/>
    <mergeCell ref="E24:G24"/>
    <mergeCell ref="E25:G25"/>
    <mergeCell ref="E26:G26"/>
    <mergeCell ref="I20:K20"/>
    <mergeCell ref="L20:N20"/>
    <mergeCell ref="I21:K21"/>
    <mergeCell ref="L21:N21"/>
    <mergeCell ref="L17:N17"/>
    <mergeCell ref="I11:K11"/>
    <mergeCell ref="I12:K12"/>
    <mergeCell ref="L12:N12"/>
    <mergeCell ref="P7:W7"/>
    <mergeCell ref="P8:W8"/>
    <mergeCell ref="P9:W9"/>
    <mergeCell ref="P10:W10"/>
    <mergeCell ref="E7:G7"/>
    <mergeCell ref="I7:K7"/>
    <mergeCell ref="L7:N7"/>
    <mergeCell ref="P22:W22"/>
    <mergeCell ref="P11:W11"/>
    <mergeCell ref="P12:W12"/>
    <mergeCell ref="P13:W13"/>
    <mergeCell ref="P14:W14"/>
    <mergeCell ref="P15:W15"/>
    <mergeCell ref="P16:W16"/>
    <mergeCell ref="P17:W17"/>
    <mergeCell ref="P18:W18"/>
    <mergeCell ref="P19:W19"/>
    <mergeCell ref="P20:W20"/>
    <mergeCell ref="P21:W21"/>
    <mergeCell ref="P29:W29"/>
    <mergeCell ref="P23:W23"/>
    <mergeCell ref="P24:W24"/>
    <mergeCell ref="P25:W25"/>
    <mergeCell ref="P26:W26"/>
    <mergeCell ref="P27:W27"/>
    <mergeCell ref="P28:W28"/>
  </mergeCells>
  <phoneticPr fontId="6" type="noConversion"/>
  <conditionalFormatting sqref="E17:G2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:N7">
    <cfRule type="cellIs" dxfId="1" priority="2" operator="lessThan">
      <formula>0</formula>
    </cfRule>
    <cfRule type="cellIs" dxfId="0" priority="3" operator="greaterThanOrEqual">
      <formula>0</formula>
    </cfRule>
  </conditionalFormatting>
  <conditionalFormatting sqref="L11:N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686F-D1E3-4A17-8D13-5BADE9C080A2}">
  <sheetPr codeName="Sheet4"/>
  <dimension ref="A1:A13"/>
  <sheetViews>
    <sheetView workbookViewId="0">
      <selection activeCell="A9" sqref="A9"/>
    </sheetView>
  </sheetViews>
  <sheetFormatPr defaultRowHeight="14.4" x14ac:dyDescent="0.3"/>
  <cols>
    <col min="1" max="1" width="20" customWidth="1"/>
  </cols>
  <sheetData>
    <row r="1" spans="1:1" x14ac:dyDescent="0.3">
      <c r="A1" t="s">
        <v>3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4</v>
      </c>
    </row>
    <row r="6" spans="1:1" x14ac:dyDescent="0.3">
      <c r="A6" t="s">
        <v>10</v>
      </c>
    </row>
    <row r="7" spans="1:1" x14ac:dyDescent="0.3">
      <c r="A7" t="s">
        <v>33</v>
      </c>
    </row>
    <row r="8" spans="1:1" x14ac:dyDescent="0.3">
      <c r="A8" t="s">
        <v>36</v>
      </c>
    </row>
    <row r="9" spans="1:1" x14ac:dyDescent="0.3">
      <c r="A9" t="s">
        <v>5</v>
      </c>
    </row>
    <row r="10" spans="1:1" x14ac:dyDescent="0.3">
      <c r="A10" t="s">
        <v>35</v>
      </c>
    </row>
    <row r="11" spans="1:1" x14ac:dyDescent="0.3">
      <c r="A11" t="s">
        <v>11</v>
      </c>
    </row>
    <row r="12" spans="1:1" x14ac:dyDescent="0.3">
      <c r="A12" t="s">
        <v>32</v>
      </c>
    </row>
    <row r="13" spans="1:1" x14ac:dyDescent="0.3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Expense Entry</vt:lpstr>
      <vt:lpstr>Quick Expense Calculator</vt:lpstr>
      <vt:lpstr>Categories</vt:lpstr>
      <vt:lpstr>CategoryList</vt:lpstr>
      <vt:lpstr>ExpenseTracker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Budige Madhuravani</dc:creator>
  <cp:lastModifiedBy>Budige Madhuravani</cp:lastModifiedBy>
  <dcterms:created xsi:type="dcterms:W3CDTF">2024-08-15T11:23:10Z</dcterms:created>
  <dcterms:modified xsi:type="dcterms:W3CDTF">2024-11-18T08:31:27Z</dcterms:modified>
</cp:coreProperties>
</file>